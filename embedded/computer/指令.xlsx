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<sst xmlns="http://schemas.openxmlformats.org/spreadsheetml/2006/main" count="34" uniqueCount="33">
  <si>
    <t>数据从ALU入寄存器标识(数据/0)</t>
  </si>
  <si>
    <t>数据写入ALU的（数据/0）</t>
  </si>
  <si>
    <t>数据输标识</t>
  </si>
  <si>
    <t>数据写入标识</t>
  </si>
  <si>
    <t>寄存器开关</t>
  </si>
  <si>
    <t>时钟开关</t>
  </si>
  <si>
    <t>名称</t>
  </si>
  <si>
    <t>指令</t>
  </si>
  <si>
    <t>CMP_en</t>
  </si>
  <si>
    <t>PC_jmp</t>
  </si>
  <si>
    <t>R_out</t>
  </si>
  <si>
    <t>D_out</t>
  </si>
  <si>
    <t>D_ld</t>
  </si>
  <si>
    <t>D_str</t>
  </si>
  <si>
    <t>R_en</t>
  </si>
  <si>
    <t>hlat</t>
  </si>
  <si>
    <t>sel</t>
  </si>
  <si>
    <t>加法</t>
  </si>
  <si>
    <t>add</t>
  </si>
  <si>
    <t>减法</t>
  </si>
  <si>
    <t>sub</t>
  </si>
  <si>
    <t>与</t>
  </si>
  <si>
    <t>and</t>
  </si>
  <si>
    <t>或</t>
  </si>
  <si>
    <t>or</t>
  </si>
  <si>
    <t>写入</t>
  </si>
  <si>
    <t>str</t>
  </si>
  <si>
    <t>读取</t>
  </si>
  <si>
    <t>ld</t>
  </si>
  <si>
    <t>跳转指令</t>
  </si>
  <si>
    <t>jmp</t>
  </si>
  <si>
    <t>比较指令</t>
  </si>
  <si>
    <t>cmp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</si>
</sst>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1"/>
  <sheetViews>
    <sheetView tabSelected="1" workbookViewId="0">
      <selection activeCell="S11" sqref="S11"/>
    </sheetView>
  </sheetViews>
  <sheetFormatPr defaultColWidth="9" defaultRowHeight="13.5"/>
  <cols>
    <col min="3" max="18" width="5.625" customWidth="1"/>
    <col min="19" max="19" width="28" customWidth="1"/>
  </cols>
  <sheetData>
    <row r="1" spans="1:19">
      <c r="C1">
        <v>15</v>
      </c>
      <c r="D1">
        <v>14</v>
      </c>
      <c r="E1">
        <v>13</v>
      </c>
      <c r="F1">
        <v>12</v>
      </c>
      <c r="G1">
        <v>11</v>
      </c>
      <c r="H1">
        <v>10</v>
      </c>
      <c r="I1">
        <v>9</v>
      </c>
      <c r="J1">
        <v>8</v>
      </c>
      <c r="K1">
        <v>7</v>
      </c>
      <c r="L1">
        <v>6</v>
      </c>
      <c r="M1">
        <v>5</v>
      </c>
      <c r="N1">
        <v>4</v>
      </c>
      <c r="O1">
        <v>3</v>
      </c>
      <c r="P1">
        <v>2</v>
      </c>
      <c r="Q1">
        <v>1</v>
      </c>
      <c r="R1">
        <v>0</v>
      </c>
    </row>
    <row r="2" spans="1:19">
      <c r="K2" t="s">
        <v>0</v>
      </c>
      <c r="L2" t="s">
        <v>1</v>
      </c>
      <c r="M2" t="s">
        <v>2</v>
      </c>
      <c r="N2" t="s">
        <v>3</v>
      </c>
      <c r="O2" t="s">
        <v>4</v>
      </c>
      <c r="P2" t="s">
        <v>5</v>
      </c>
    </row>
    <row r="3" spans="1:19">
      <c r="A3" t="s">
        <v>6</v>
      </c>
      <c r="B3" t="s">
        <v>7</v>
      </c>
      <c r="C3"/>
      <c r="D3"/>
      <c r="E3"/>
      <c r="F3"/>
      <c r="G3"/>
      <c r="H3"/>
      <c r="I3" t="s">
        <v>8</v>
      </c>
      <c r="J3" t="s">
        <v>9</v>
      </c>
      <c r="K3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16</v>
      </c>
    </row>
    <row r="4" spans="1:19">
      <c r="A4" t="s">
        <v>17</v>
      </c>
      <c r="B4" t="s">
        <v>18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1</v>
      </c>
      <c r="N4">
        <v>0</v>
      </c>
      <c r="O4">
        <v>1</v>
      </c>
      <c r="P4">
        <v>1</v>
      </c>
      <c r="Q4">
        <v>0</v>
      </c>
      <c r="R4">
        <v>0</v>
      </c>
      <c r="S4" t="str">
        <f t="shared" ref="S4:S9" si="0">_xlfn.CONCAT("0b",C4,D4,E4,F4,G4,H4,I4,J4,K4,L4,M4,N4,O4,P4,Q4,R4)</f>
        <v>0b0000000000101100</v>
      </c>
    </row>
    <row r="5" spans="1:19">
      <c r="A5" t="s">
        <v>19</v>
      </c>
      <c r="B5" t="s">
        <v>20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1</v>
      </c>
      <c r="N5">
        <v>0</v>
      </c>
      <c r="O5">
        <v>1</v>
      </c>
      <c r="P5">
        <v>1</v>
      </c>
      <c r="Q5">
        <v>0</v>
      </c>
      <c r="R5">
        <v>1</v>
      </c>
      <c r="S5" t="str">
        <f t="shared" si="0"/>
        <v>0b0000000000101101</v>
      </c>
    </row>
    <row r="6" spans="1:19">
      <c r="A6" t="s">
        <v>21</v>
      </c>
      <c r="B6" t="s">
        <v>22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1</v>
      </c>
      <c r="P6">
        <v>1</v>
      </c>
      <c r="Q6">
        <v>1</v>
      </c>
      <c r="R6">
        <v>0</v>
      </c>
      <c r="S6" t="str">
        <f t="shared" si="0"/>
        <v>0b0000000000101110</v>
      </c>
    </row>
    <row r="7" spans="1:19">
      <c r="A7" t="s">
        <v>23</v>
      </c>
      <c r="B7" t="s">
        <v>24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1</v>
      </c>
      <c r="N7">
        <v>0</v>
      </c>
      <c r="O7">
        <v>1</v>
      </c>
      <c r="P7">
        <v>1</v>
      </c>
      <c r="Q7">
        <v>1</v>
      </c>
      <c r="R7">
        <v>1</v>
      </c>
      <c r="S7" t="str">
        <f t="shared" si="0"/>
        <v>0b0000000000101111</v>
      </c>
    </row>
    <row r="8" spans="1:19">
      <c r="A8" t="s">
        <v>25</v>
      </c>
      <c r="B8" t="s">
        <v>26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</v>
      </c>
      <c r="M8">
        <v>1</v>
      </c>
      <c r="N8">
        <v>1</v>
      </c>
      <c r="O8">
        <v>0</v>
      </c>
      <c r="P8">
        <v>1</v>
      </c>
      <c r="Q8">
        <v>0</v>
      </c>
      <c r="R8">
        <v>0</v>
      </c>
      <c r="S8" t="str">
        <f t="shared" si="0"/>
        <v>0b0000000001110100</v>
      </c>
    </row>
    <row r="9" spans="1:19">
      <c r="A9" t="s">
        <v>27</v>
      </c>
      <c r="B9" t="s">
        <v>28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1</v>
      </c>
      <c r="L9">
        <v>0</v>
      </c>
      <c r="M9">
        <v>1</v>
      </c>
      <c r="N9">
        <v>0</v>
      </c>
      <c r="O9">
        <v>1</v>
      </c>
      <c r="P9">
        <v>1</v>
      </c>
      <c r="Q9">
        <v>0</v>
      </c>
      <c r="R9">
        <v>0</v>
      </c>
      <c r="S9" t="str">
        <f t="shared" si="0"/>
        <v>0b0000000010101100</v>
      </c>
    </row>
    <row r="10" spans="1:19">
      <c r="A10" t="s">
        <v>29</v>
      </c>
      <c r="B10" t="s">
        <v>30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1</v>
      </c>
      <c r="K10">
        <v>1</v>
      </c>
      <c r="L10">
        <v>0</v>
      </c>
      <c r="M10">
        <v>1</v>
      </c>
      <c r="N10">
        <v>0</v>
      </c>
      <c r="O10">
        <v>0</v>
      </c>
      <c r="P10">
        <v>1</v>
      </c>
      <c r="Q10">
        <v>0</v>
      </c>
      <c r="R10">
        <v>0</v>
      </c>
      <c r="S10" t="str">
        <f>_xlfn.CONCAT("0b",C10,D10,E10,F10,G10,H10,I10,J10,K10,L10,M10,N10,O10,P10,Q10,R10)</f>
        <v>0b0000000110100100</v>
      </c>
    </row>
    <row r="11" spans="1:19">
      <c r="A11" t="s">
        <v>31</v>
      </c>
      <c r="B11" t="s">
        <v>32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1</v>
      </c>
      <c r="Q11">
        <v>0</v>
      </c>
      <c r="R11">
        <v>0</v>
      </c>
      <c r="S11" t="str">
        <f>_xlfn.CONCAT("0b",C11,D11,E11,F11,G11,H11,I11,J11,K11,L11,M11,N11,O11,P11,Q11,R11)</f>
        <v>0b0000001000100100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liujun</dc:creator>
  <cp:lastModifiedBy>null null（空空）</cp:lastModifiedBy>
  <dcterms:created xsi:type="dcterms:W3CDTF">2026-01-17T06:54:00Z</dcterms:created>
  <dcterms:modified xsi:type="dcterms:W3CDTF">2026-01-18T12:42:31Z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0BBF167112384832B2444436D4DBE1C5_11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